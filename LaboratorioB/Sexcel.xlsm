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estudiante\Desktop\LaboratorioB\"/>
    </mc:Choice>
  </mc:AlternateContent>
  <bookViews>
    <workbookView xWindow="240" yWindow="75" windowWidth="18855" windowHeight="11760"/>
  </bookViews>
  <sheets>
    <sheet name="FACTURA" sheetId="1" r:id="rId1"/>
    <sheet name="BASE" sheetId="2" r:id="rId2"/>
    <sheet name="PRODUCTOS" sheetId="3" r:id="rId3"/>
    <sheet name="CLIENTES" sheetId="4" r:id="rId4"/>
  </sheets>
  <definedNames>
    <definedName name="CATALOGO">PRODUCTOS!$A$1:$D$6</definedName>
    <definedName name="CLIENTES">CLIENTES!$A$2:$C$15</definedName>
  </definedNames>
  <calcPr calcId="152511"/>
</workbook>
</file>

<file path=xl/calcChain.xml><?xml version="1.0" encoding="utf-8"?>
<calcChain xmlns="http://schemas.openxmlformats.org/spreadsheetml/2006/main">
  <c r="G2" i="2" l="1"/>
  <c r="E11" i="1" s="1"/>
  <c r="A11" i="1"/>
  <c r="F4" i="1"/>
  <c r="C7" i="1"/>
  <c r="C6" i="1"/>
  <c r="F2" i="2"/>
  <c r="C11" i="1" s="1"/>
  <c r="A2" i="2"/>
  <c r="F11" i="1" l="1"/>
  <c r="F19" i="1"/>
  <c r="F13" i="1"/>
  <c r="F14" i="1"/>
  <c r="F15" i="1"/>
  <c r="F16" i="1"/>
  <c r="F17" i="1"/>
  <c r="E13" i="1"/>
  <c r="E14" i="1"/>
  <c r="E15" i="1"/>
  <c r="E16" i="1"/>
  <c r="E17" i="1"/>
  <c r="D12" i="1"/>
  <c r="D13" i="1"/>
  <c r="D14" i="1"/>
  <c r="D15" i="1"/>
  <c r="D16" i="1"/>
  <c r="D17" i="1"/>
  <c r="C12" i="1"/>
  <c r="C13" i="1"/>
  <c r="C14" i="1"/>
  <c r="C15" i="1"/>
  <c r="C16" i="1"/>
  <c r="C17" i="1"/>
  <c r="B4" i="1"/>
  <c r="F20" i="1" l="1"/>
</calcChain>
</file>

<file path=xl/sharedStrings.xml><?xml version="1.0" encoding="utf-8"?>
<sst xmlns="http://schemas.openxmlformats.org/spreadsheetml/2006/main" count="41" uniqueCount="32">
  <si>
    <t>Direccion y numero de indentificacion fiscal</t>
  </si>
  <si>
    <r>
      <rPr>
        <b/>
        <sz val="11"/>
        <color theme="1"/>
        <rFont val="Calibri"/>
        <family val="2"/>
        <scheme val="minor"/>
      </rPr>
      <t>Nombre del Negocio</t>
    </r>
    <r>
      <rPr>
        <sz val="11"/>
        <color theme="1"/>
        <rFont val="Calibri"/>
        <family val="2"/>
        <scheme val="minor"/>
      </rPr>
      <t xml:space="preserve"> </t>
    </r>
  </si>
  <si>
    <t>Fecha</t>
  </si>
  <si>
    <t>FACT.  No</t>
  </si>
  <si>
    <t>CLIENTE</t>
  </si>
  <si>
    <t>DIRECCION</t>
  </si>
  <si>
    <t>CANT.</t>
  </si>
  <si>
    <t>COD. PROD</t>
  </si>
  <si>
    <t>PRODUCTO</t>
  </si>
  <si>
    <t>P/U</t>
  </si>
  <si>
    <t>TOTAL</t>
  </si>
  <si>
    <t>SUBTOTALES</t>
  </si>
  <si>
    <t>IVA 12%</t>
  </si>
  <si>
    <t>TOTAL PAG</t>
  </si>
  <si>
    <t>FIRMA DEL VENDEDOR</t>
  </si>
  <si>
    <t xml:space="preserve">       ________________________________</t>
  </si>
  <si>
    <t>FECHA</t>
  </si>
  <si>
    <t>No. FAC</t>
  </si>
  <si>
    <t>COD.PROD</t>
  </si>
  <si>
    <t>PRECIO UNIT.</t>
  </si>
  <si>
    <t>IVA</t>
  </si>
  <si>
    <t>PROVEEDOR</t>
  </si>
  <si>
    <t>CIUDAD</t>
  </si>
  <si>
    <t>arroz</t>
  </si>
  <si>
    <t>aceite</t>
  </si>
  <si>
    <t>frijoles</t>
  </si>
  <si>
    <t xml:space="preserve">Dania Arcely Rodriguez </t>
  </si>
  <si>
    <t>Guatemala</t>
  </si>
  <si>
    <t>Productos</t>
  </si>
  <si>
    <t>maiz</t>
  </si>
  <si>
    <t>pastas</t>
  </si>
  <si>
    <t>lote 7 sec 4 av samaria zona 4 villa Nueva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</si>
</sst>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4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43" fontId="0" fillId="0" borderId="1" xfId="1" applyFont="1" applyBorder="1" applyAlignment="1">
      <alignment horizontal="center"/>
    </xf>
    <xf numFmtId="43" fontId="0" fillId="0" borderId="1" xfId="0" applyNumberFormat="1" applyBorder="1"/>
    <xf numFmtId="0" fontId="0" fillId="0" borderId="1" xfId="1" applyNumberFormat="1" applyFont="1" applyBorder="1" applyAlignment="1">
      <alignment horizontal="center"/>
    </xf>
    <xf numFmtId="0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21"/>
  <sheetViews>
    <sheetView tabSelected="1" workbookViewId="0">
      <selection activeCell="C6" sqref="C6:F6"/>
    </sheetView>
  </sheetViews>
  <sheetFormatPr baseColWidth="10" defaultRowHeight="15" x14ac:dyDescent="0.25"/>
  <cols>
    <col min="1" max="1" width="8.140625" customWidth="1"/>
    <col min="2" max="2" width="11" customWidth="1"/>
    <col min="3" max="3" width="13.28515625" customWidth="1"/>
    <col min="4" max="4" width="13.7109375" customWidth="1"/>
    <col min="5" max="5" width="12.5703125" customWidth="1"/>
    <col min="6" max="6" width="8" bestFit="1" customWidth="1"/>
  </cols>
  <sheetData>
    <row r="1" spans="1:6" x14ac:dyDescent="0.25">
      <c r="A1" s="14" t="s">
        <v>1</v>
      </c>
      <c r="B1" s="14"/>
      <c r="C1" s="14"/>
      <c r="D1" s="14"/>
      <c r="E1" s="14"/>
      <c r="F1" s="14"/>
    </row>
    <row r="2" spans="1:6" x14ac:dyDescent="0.25">
      <c r="C2" s="15" t="s">
        <v>0</v>
      </c>
      <c r="D2" s="14"/>
      <c r="E2" s="14"/>
    </row>
    <row r="4" spans="1:6" ht="15.75" x14ac:dyDescent="0.25">
      <c r="A4" s="2" t="s">
        <v>2</v>
      </c>
      <c r="B4" s="16">
        <f ca="1">TODAY()</f>
        <v>42845</v>
      </c>
      <c r="C4" s="16"/>
      <c r="E4" s="1" t="s">
        <v>3</v>
      </c>
      <c r="F4">
        <f>BASE!B2</f>
        <v>1</v>
      </c>
    </row>
    <row r="6" spans="1:6" x14ac:dyDescent="0.25">
      <c r="A6" s="13" t="s">
        <v>4</v>
      </c>
      <c r="B6" s="13"/>
      <c r="C6" s="17" t="str">
        <f>BASE!C2</f>
        <v xml:space="preserve">Dania Arcely Rodriguez </v>
      </c>
      <c r="D6" s="17"/>
      <c r="E6" s="17"/>
      <c r="F6" s="17"/>
    </row>
    <row r="7" spans="1:6" x14ac:dyDescent="0.25">
      <c r="A7" s="13" t="s">
        <v>5</v>
      </c>
      <c r="B7" s="13"/>
      <c r="C7" s="17" t="str">
        <f>CLIENTES!B2</f>
        <v>lote 7 sec 4 av samaria zona 4 villa Nueva</v>
      </c>
      <c r="D7" s="17"/>
      <c r="E7" s="17"/>
      <c r="F7" s="17"/>
    </row>
    <row r="9" spans="1:6" x14ac:dyDescent="0.25">
      <c r="A9" s="5" t="s">
        <v>6</v>
      </c>
      <c r="B9" s="5" t="s">
        <v>7</v>
      </c>
      <c r="C9" s="6" t="s">
        <v>8</v>
      </c>
      <c r="D9" s="6"/>
      <c r="E9" s="6" t="s">
        <v>9</v>
      </c>
      <c r="F9" s="6" t="s">
        <v>10</v>
      </c>
    </row>
    <row r="10" spans="1:6" x14ac:dyDescent="0.25">
      <c r="A10" s="7"/>
      <c r="B10" s="7"/>
      <c r="C10" s="7"/>
      <c r="D10" s="7"/>
      <c r="E10" s="8"/>
      <c r="F10" s="8"/>
    </row>
    <row r="11" spans="1:6" x14ac:dyDescent="0.25">
      <c r="A11" s="7">
        <f>BASE!D2</f>
        <v>3</v>
      </c>
      <c r="B11" s="7">
        <v>1005</v>
      </c>
      <c r="C11" s="7" t="str">
        <f>BASE!F2</f>
        <v>pastas</v>
      </c>
      <c r="D11" s="7"/>
      <c r="E11" s="10">
        <f>BASE!G2</f>
        <v>10</v>
      </c>
      <c r="F11" s="10">
        <f>A11*E11</f>
        <v>30</v>
      </c>
    </row>
    <row r="12" spans="1:6" x14ac:dyDescent="0.25">
      <c r="A12" s="7"/>
      <c r="B12" s="7"/>
      <c r="C12" s="7" t="str">
        <f t="shared" ref="C12:C17" si="0">IF($B12&lt;&gt;"",VLOOKUP($B12,CATALOGO,2,0),"")</f>
        <v/>
      </c>
      <c r="D12" s="7" t="str">
        <f t="shared" ref="D12:D17" si="1">IF($B12&lt;&gt;"",VLOOKUP($B12,CATALOGO,3,0),"")</f>
        <v/>
      </c>
      <c r="E12" s="8"/>
      <c r="F12" s="8"/>
    </row>
    <row r="13" spans="1:6" x14ac:dyDescent="0.25">
      <c r="A13" s="7"/>
      <c r="B13" s="7"/>
      <c r="C13" s="7" t="str">
        <f t="shared" si="0"/>
        <v/>
      </c>
      <c r="D13" s="7" t="str">
        <f t="shared" si="1"/>
        <v/>
      </c>
      <c r="E13" s="8" t="str">
        <f t="shared" ref="E13:E17" si="2">IF($B13&lt;&gt;"",VLOOKUP($B13,CATALOGO,4,0),"")</f>
        <v/>
      </c>
      <c r="F13" s="8" t="str">
        <f t="shared" ref="F13:F17" si="3">IF(A13&gt;0,A13*E13,"")</f>
        <v/>
      </c>
    </row>
    <row r="14" spans="1:6" x14ac:dyDescent="0.25">
      <c r="A14" s="7"/>
      <c r="B14" s="7"/>
      <c r="C14" s="7" t="str">
        <f t="shared" si="0"/>
        <v/>
      </c>
      <c r="D14" s="7" t="str">
        <f t="shared" si="1"/>
        <v/>
      </c>
      <c r="E14" s="8" t="str">
        <f t="shared" si="2"/>
        <v/>
      </c>
      <c r="F14" s="8" t="str">
        <f t="shared" si="3"/>
        <v/>
      </c>
    </row>
    <row r="15" spans="1:6" x14ac:dyDescent="0.25">
      <c r="A15" s="7"/>
      <c r="B15" s="7"/>
      <c r="C15" s="7" t="str">
        <f t="shared" si="0"/>
        <v/>
      </c>
      <c r="D15" s="7" t="str">
        <f t="shared" si="1"/>
        <v/>
      </c>
      <c r="E15" s="8" t="str">
        <f t="shared" si="2"/>
        <v/>
      </c>
      <c r="F15" s="8" t="str">
        <f t="shared" si="3"/>
        <v/>
      </c>
    </row>
    <row r="16" spans="1:6" x14ac:dyDescent="0.25">
      <c r="A16" s="7"/>
      <c r="B16" s="7"/>
      <c r="C16" s="7" t="str">
        <f t="shared" si="0"/>
        <v/>
      </c>
      <c r="D16" s="7" t="str">
        <f t="shared" si="1"/>
        <v/>
      </c>
      <c r="E16" s="8" t="str">
        <f t="shared" si="2"/>
        <v/>
      </c>
      <c r="F16" s="8" t="str">
        <f t="shared" si="3"/>
        <v/>
      </c>
    </row>
    <row r="17" spans="1:6" x14ac:dyDescent="0.25">
      <c r="A17" s="7"/>
      <c r="B17" s="7"/>
      <c r="C17" s="7" t="str">
        <f t="shared" si="0"/>
        <v/>
      </c>
      <c r="D17" s="7" t="str">
        <f t="shared" si="1"/>
        <v/>
      </c>
      <c r="E17" s="8" t="str">
        <f t="shared" si="2"/>
        <v/>
      </c>
      <c r="F17" s="8" t="str">
        <f t="shared" si="3"/>
        <v/>
      </c>
    </row>
    <row r="18" spans="1:6" x14ac:dyDescent="0.25">
      <c r="E18" s="5" t="s">
        <v>11</v>
      </c>
      <c r="F18" s="9"/>
    </row>
    <row r="19" spans="1:6" x14ac:dyDescent="0.25">
      <c r="E19" s="5" t="s">
        <v>12</v>
      </c>
      <c r="F19" s="9">
        <f>E11*0.12</f>
        <v>1.2</v>
      </c>
    </row>
    <row r="20" spans="1:6" x14ac:dyDescent="0.25">
      <c r="A20" t="s">
        <v>15</v>
      </c>
      <c r="E20" s="5" t="s">
        <v>13</v>
      </c>
      <c r="F20" s="9">
        <f>F11-F19</f>
        <v>28.8</v>
      </c>
    </row>
    <row r="21" spans="1:6" x14ac:dyDescent="0.25">
      <c r="A21" s="13" t="s">
        <v>14</v>
      </c>
      <c r="B21" s="13"/>
      <c r="C21" s="13"/>
    </row>
  </sheetData>
  <mergeCells count="8">
    <mergeCell ref="A21:C21"/>
    <mergeCell ref="A1:F1"/>
    <mergeCell ref="C2:E2"/>
    <mergeCell ref="B4:C4"/>
    <mergeCell ref="A6:B6"/>
    <mergeCell ref="A7:B7"/>
    <mergeCell ref="C6:F6"/>
    <mergeCell ref="C7:F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H2"/>
  <sheetViews>
    <sheetView workbookViewId="0">
      <selection activeCell="C10" sqref="C10"/>
    </sheetView>
  </sheetViews>
  <sheetFormatPr baseColWidth="10" defaultRowHeight="15" x14ac:dyDescent="0.25"/>
  <cols>
    <col min="3" max="3" width="23" customWidth="1"/>
    <col min="6" max="6" width="22.7109375" customWidth="1"/>
    <col min="7" max="7" width="23.140625" customWidth="1"/>
  </cols>
  <sheetData>
    <row r="1" spans="1:8" x14ac:dyDescent="0.25">
      <c r="A1" s="3" t="s">
        <v>16</v>
      </c>
      <c r="B1" s="3" t="s">
        <v>17</v>
      </c>
      <c r="C1" s="3" t="s">
        <v>4</v>
      </c>
      <c r="D1" s="3" t="s">
        <v>6</v>
      </c>
      <c r="E1" s="3" t="s">
        <v>18</v>
      </c>
      <c r="F1" s="3" t="s">
        <v>8</v>
      </c>
      <c r="G1" s="3" t="s">
        <v>19</v>
      </c>
      <c r="H1" s="3" t="s">
        <v>20</v>
      </c>
    </row>
    <row r="2" spans="1:8" x14ac:dyDescent="0.25">
      <c r="A2" s="12">
        <f ca="1">TODAY()</f>
        <v>42845</v>
      </c>
      <c r="B2">
        <v>1</v>
      </c>
      <c r="C2" t="s">
        <v>26</v>
      </c>
      <c r="D2">
        <v>3</v>
      </c>
      <c r="E2">
        <v>1005</v>
      </c>
      <c r="F2" t="str">
        <f>VLOOKUP(E2,PRODUCTOS!A2:C6,2)</f>
        <v>pastas</v>
      </c>
      <c r="G2" s="11">
        <f>VLOOKUP(E2,PRODUCTOS!A2:C6,3)</f>
        <v>10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CLIENTES!$A$2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D6"/>
  <sheetViews>
    <sheetView workbookViewId="0">
      <selection activeCell="B7" sqref="B7"/>
    </sheetView>
  </sheetViews>
  <sheetFormatPr baseColWidth="10" defaultRowHeight="15" x14ac:dyDescent="0.25"/>
  <cols>
    <col min="1" max="1" width="17.5703125" customWidth="1"/>
    <col min="2" max="2" width="21.7109375" customWidth="1"/>
    <col min="3" max="3" width="15.5703125" customWidth="1"/>
    <col min="4" max="4" width="23" customWidth="1"/>
  </cols>
  <sheetData>
    <row r="1" spans="1:4" x14ac:dyDescent="0.25">
      <c r="A1" s="4" t="s">
        <v>7</v>
      </c>
      <c r="B1" s="3" t="s">
        <v>8</v>
      </c>
      <c r="C1" s="3" t="s">
        <v>19</v>
      </c>
      <c r="D1" s="3" t="s">
        <v>21</v>
      </c>
    </row>
    <row r="2" spans="1:4" x14ac:dyDescent="0.25">
      <c r="A2">
        <v>1001</v>
      </c>
      <c r="B2" t="s">
        <v>23</v>
      </c>
      <c r="C2" s="11">
        <v>25</v>
      </c>
    </row>
    <row r="3" spans="1:4" x14ac:dyDescent="0.25">
      <c r="A3">
        <v>1002</v>
      </c>
      <c r="B3" t="s">
        <v>25</v>
      </c>
      <c r="C3" s="11">
        <v>15</v>
      </c>
    </row>
    <row r="4" spans="1:4" x14ac:dyDescent="0.25">
      <c r="A4">
        <v>1003</v>
      </c>
      <c r="B4" t="s">
        <v>29</v>
      </c>
      <c r="C4" s="11">
        <v>20</v>
      </c>
    </row>
    <row r="5" spans="1:4" x14ac:dyDescent="0.25">
      <c r="A5">
        <v>1004</v>
      </c>
      <c r="B5" t="s">
        <v>24</v>
      </c>
      <c r="C5" s="11">
        <v>15</v>
      </c>
    </row>
    <row r="6" spans="1:4" x14ac:dyDescent="0.25">
      <c r="A6">
        <v>1005</v>
      </c>
      <c r="B6" t="s">
        <v>30</v>
      </c>
      <c r="C6" s="11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C5"/>
  <sheetViews>
    <sheetView workbookViewId="0">
      <selection activeCell="C3" sqref="C3"/>
    </sheetView>
  </sheetViews>
  <sheetFormatPr baseColWidth="10" defaultRowHeight="15" x14ac:dyDescent="0.25"/>
  <cols>
    <col min="1" max="1" width="33.140625" customWidth="1"/>
    <col min="2" max="2" width="34.42578125" customWidth="1"/>
    <col min="3" max="3" width="22.42578125" customWidth="1"/>
  </cols>
  <sheetData>
    <row r="1" spans="1:3" x14ac:dyDescent="0.25">
      <c r="A1" s="3" t="s">
        <v>4</v>
      </c>
      <c r="B1" s="3" t="s">
        <v>5</v>
      </c>
      <c r="C1" s="3" t="s">
        <v>22</v>
      </c>
    </row>
    <row r="2" spans="1:3" x14ac:dyDescent="0.25">
      <c r="A2" t="s">
        <v>26</v>
      </c>
      <c r="B2" t="s">
        <v>31</v>
      </c>
      <c r="C2" t="s">
        <v>27</v>
      </c>
    </row>
    <row r="4" spans="1:3" ht="18.75" x14ac:dyDescent="0.3">
      <c r="A4" s="18" t="s">
        <v>28</v>
      </c>
      <c r="B4" s="18"/>
      <c r="C4" s="18"/>
    </row>
    <row r="5" spans="1:3" x14ac:dyDescent="0.25">
      <c r="A5">
        <v>101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FACTURA</vt:lpstr>
      <vt:lpstr>BASE</vt:lpstr>
      <vt:lpstr>PRODUCTOS</vt:lpstr>
      <vt:lpstr>CLIENTES</vt:lpstr>
      <vt:lpstr>CATALOGO</vt:lpstr>
      <vt:lpstr>CLIENTES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usaurio</dc:creator>
  <cp:lastModifiedBy>estudiante de Liceo Compu-market</cp:lastModifiedBy>
  <dcterms:created xsi:type="dcterms:W3CDTF">2017-04-12T18:05:26Z</dcterms:created>
  <dcterms:modified xsi:type="dcterms:W3CDTF">2017-04-20T18:20:44Z</dcterms:modified>
</cp:coreProperties>
</file>